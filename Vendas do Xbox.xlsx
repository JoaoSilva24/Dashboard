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UBIA\Desktop\DIO\"/>
    </mc:Choice>
  </mc:AlternateContent>
  <bookViews>
    <workbookView xWindow="0" yWindow="0" windowWidth="20490" windowHeight="753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20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<sst xmlns="http://schemas.openxmlformats.org/spreadsheetml/2006/main" count="2023" uniqueCount="325">
  <si>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</si>
  <si>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</si>
  <si>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</si>
  <si>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</si>
  <si>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</si>
  <si>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</si>
  <si>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</si>
  <si>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</si>
  <si>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</si>
  <si>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</si>
  <si>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</si>
  <si>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</si>
  <si>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</si>
  <si>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</si>
  <si>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</si>
  <si>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</si>
  <si>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</si>
  <si>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</si>
  <si>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</si>
  <si>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</si>
  <si>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</si>
  <si>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</si>
  <si>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</si>
  <si>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</si>
  <si>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</si>
  <si>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</si>
  <si>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</si>
  <si>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</si>
  <si>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</si>
  <si>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</si>
  <si>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</si>
  <si>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</si>
  <si>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</si>
  <si>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</si>
  <si>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</si>
  <si>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</si>
  <si>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</si>
  <si>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</si>
  <si>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</si>
  <si>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</si>
  <si>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</si>
  <si>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</si>
  <si>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</si>
  <si>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</si>
  <si>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</si>
  <si>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</si>
  <si>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</si>
  <si>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</si>
  <si>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</si>
  <si>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</si>
  <si>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</si>
  <si>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</si>
  <si>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</si>
  <si>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</si>
  <si>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</si>
  <si>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</si>
  <si>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</si>
  <si>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</si>
  <si>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</si>
  <si>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</si>
  <si>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</si>
  <si>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</si>
  <si>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</si>
  <si>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</si>
  <si>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</si>
  <si>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</si>
  <si>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</si>
  <si>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</si>
  <si>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</si>
  <si>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</si>
  <si>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</si>
  <si>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</si>
  <si>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</si>
  <si>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</si>
  <si>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</si>
  <si>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</si>
  <si>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</si>
  <si>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</si>
  <si>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</si>
  <si>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</si>
  <si>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</si>
  <si>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</si>
  <si>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</si>
  <si>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</si>
  <si>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</si>
  <si>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</si>
  <si>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</si>
  <si>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</si>
  <si>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</si>
  <si>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</si>
  <si>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</si>
  <si>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</si>
  <si>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</si>
  <si>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</si>
  <si>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</si>
  <si>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</si>
  <si>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</si>
  <si>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</si>
  <si>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</si>
  <si>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</si>
  <si>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</si>
  <si>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</si>
  <si>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</si>
  <si>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</si>
  <si>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</si>
  <si>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</si>
  <si>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</si>
  <si>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</si>
  <si>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</si>
  <si>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</si>
  <si>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</si>
  <si>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</si>
  <si>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</si>
  <si>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</si>
  <si>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</si>
  <si>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</si>
  <si>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</si>
  <si>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</si>
  <si>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</si>
  <si>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</si>
  <si>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</si>
  <si>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</si>
  <si>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</si>
  <si>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</si>
  <si>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</si>
  <si>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</si>
  <si>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</si>
  <si>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</si>
  <si>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</si>
  <si>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</si>
  <si>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</si>
  <si>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</si>
  <si>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</si>
  <si>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</si>
  <si>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</si>
  <si>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</si>
  <si>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</si>
  <si>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</si>
  <si>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</si>
  <si>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</si>
  <si>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</si>
  <si>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</si>
  <si>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</si>
  <si>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</si>
  <si>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</si>
  <si>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</si>
  <si>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</si>
  <si>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</si>
  <si>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</si>
  <si>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</si>
  <si>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</si>
  <si>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</si>
  <si>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</si>
  <si>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</si>
  <si>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</si>
  <si>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</si>
  <si>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</si>
  <si>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</si>
  <si>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</si>
  <si>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</si>
  <si>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</si>
  <si>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</si>
  <si>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</si>
  <si>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</si>
  <si>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</si>
  <si>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</si>
  <si>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</si>
  <si>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</si>
  <si>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</si>
  <si>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</si>
  <si>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</si>
  <si>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</si>
  <si>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</si>
  <si>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</si>
  <si>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</si>
  <si>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</si>
  <si>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</si>
  <si>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</si>
  <si>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</si>
  <si>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</si>
  <si>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</si>
  <si>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</si>
  <si>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</si>
  <si>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</si>
  <si>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</si>
  <si>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</si>
  <si>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</si>
  <si>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</si>
  <si>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</si>
  <si>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</si>
  <si>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</si>
  <si>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</si>
  <si>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</si>
  <si>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</si>
  <si>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</si>
  <si>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</si>
  <si>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</si>
  <si>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</si>
  <si>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</si>
  <si>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</si>
  <si>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</si>
  <si>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</si>
  <si>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</si>
  <si>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</si>
  <si>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</si>
  <si>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</si>
  <si>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</si>
  <si>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</si>
  <si>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</si>
  <si>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</si>
  <si>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</si>
  <si>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</si>
  <si>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</si>
  <si>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</si>
  <si>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</si>
  <si>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</si>
  <si>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</si>
  <si>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</si>
  <si>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</si>
  <si>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</si>
  <si>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</si>
  <si>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</si>
  <si>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</si>
  <si>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</si>
  <si>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</si>
  <si>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</si>
  <si>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</si>
  <si>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</si>
  <si>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</si>
  <si>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</si>
  <si>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</si>
  <si>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</si>
  <si>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</si>
  <si>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</si>
  <si>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</si>
  <si>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</si>
  <si>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</si>
  <si>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</si>
  <si>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</si>
  <si>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</si>
  <si>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</si>
  <si>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</si>
  <si>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</si>
  <si>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</si>
  <si>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</si>
  <si>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</si>
  <si>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</si>
  <si>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</si>
  <si>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</si>
  <si>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</si>
  <si>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</si>
  <si>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</si>
  <si>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</si>
  <si>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</si>
  <si>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</si>
  <si>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</si>
  <si>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</si>
  <si>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</si>
  <si>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</si>
  <si>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</si>
  <si>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</si>
  <si>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</si>
  <si>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</si>
  <si>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</si>
  <si>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</si>
  <si>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</si>
  <si>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</si>
  <si>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</si>
  <si>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</si>
  <si>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</si>
  <si>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</si>
  <si>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</si>
  <si>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</si>
  <si>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</si>
  <si>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</si>
  <si>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</si>
  <si>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</si>
  <si>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</si>
  <si>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</si>
  <si>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</si>
  <si>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</si>
  <si>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</si>
  <si>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</si>
  <si>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</si>
  <si>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</si>
  <si>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</si>
  <si>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</si>
  <si>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</si>
  <si>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</si>
  <si>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</si>
  <si>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</si>
  <si>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</si>
  <si>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</si>
  <si>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</si>
  <si>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</si>
  <si>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</si>
  <si>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</si>
  <si>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</si>
  <si>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</si>
  <si>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</si>
  <si>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</si>
  <si>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</si>
  <si>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</si>
  <si>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</si>
  <si>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</si>
  <si>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</si>
  <si>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</si>
  <si>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</si>
  <si>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</si>
  <si>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</si>
  <si>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</si>
  <si>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</si>
  <si>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</si>
  <si>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</si>
  <si>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</si>
  <si>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</si>
  <si>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     XBOX GAME PASS SUBSCRIPTIONS SALES</t>
  </si>
  <si>
    <t xml:space="preserve"> </t>
  </si>
  <si>
    <r>
      <t xml:space="preserve">Pergunta de Negócio 2 - Qual o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>, separado por auto renovação não é por auto renovação</t>
    </r>
  </si>
  <si>
    <r>
      <t xml:space="preserve">Pergunta de Negócio 1 - Qual o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de </t>
    </r>
    <r>
      <rPr>
        <b/>
        <sz val="11"/>
        <color theme="1"/>
        <rFont val="Aptos Narrow"/>
        <scheme val="minor"/>
      </rPr>
      <t xml:space="preserve">planos atuais </t>
    </r>
    <r>
      <rPr>
        <sz val="11"/>
        <color theme="1"/>
        <rFont val="Aptos Narrow"/>
        <scheme val="minor"/>
      </rPr>
      <t xml:space="preserve">(contendo todas as assinaturs agregadas) </t>
    </r>
  </si>
  <si>
    <t>Pergunta de Negócio 3 - Total de Vendas de Assinaturas do EA Play</t>
  </si>
  <si>
    <t>Soma de EA Play Season Pass</t>
  </si>
  <si>
    <r>
      <t xml:space="preserve">Pergunta de Negócios 4 -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Minecraft Season Pass</t>
    </r>
  </si>
  <si>
    <t>Soma de Minecraft Season Pass 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</si>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</sst>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_-[$$-409]* #,##0.00_ ;_-[$$-409]* \-#,##0.00\ ;_-[$$-409]* &quot;-&quot;??_ ;_-@_ 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6" tint="0.39997558519241921"/>
      <name val="Aptos Narrow"/>
      <scheme val="minor"/>
    </font>
    <font>
      <b/>
      <sz val="18"/>
      <color theme="6" tint="0.39997558519241921"/>
      <name val="Aptos Narrow"/>
      <scheme val="minor"/>
    </font>
    <font>
      <sz val="11"/>
      <color theme="6" tint="0.39997558519241921"/>
      <name val="Aptos Narrow"/>
      <family val="2"/>
      <scheme val="minor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165" fontId="0" fillId="0" borderId="0" xfId="0" applyNumberFormat="1"/>
    <xf numFmtId="0" fontId="0" fillId="8" borderId="0" xfId="0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9" borderId="0" xfId="0" applyFont="1" applyFill="1"/>
    <xf numFmtId="164" fontId="0" fillId="0" borderId="0" xfId="2" applyFont="1"/>
    <xf numFmtId="0" fontId="0" fillId="0" borderId="0" xfId="0" applyAlignment="1">
      <alignment horizontal="left"/>
    </xf>
    <xf numFmtId="0" fontId="5" fillId="0" borderId="0" xfId="0" applyFont="1" applyBorder="1" applyAlignment="1">
      <alignment vertical="center"/>
    </xf>
    <xf numFmtId="0" fontId="7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Border="1" applyAlignment="1">
      <alignment horizontal="left" vertical="center" indent="7"/>
    </xf>
  </cellXfs>
  <cellStyles count="3">
    <cellStyle name="Moeda" xfId="2" builtinId="4"/>
    <cellStyle name="Normal" xfId="0" builtinId="0"/>
    <cellStyle name="Título 1" xfId="1" builtinId="16"/>
  </cellStyles>
  <dxfs count="23">
    <dxf>
      <numFmt numFmtId="165" formatCode="_-[$$-409]* #,##0.00_ ;_-[$$-409]* \-#,##0.00\ ;_-[$$-409]* &quot;-&quot;??_ ;_-@_ 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5" formatCode="_-[$$-409]* #,##0.00_ ;_-[$$-409]* \-#,##0.00\ ;_-[$$-409]* &quot;-&quot;??_ ;_-@_ "/>
    </dxf>
    <dxf>
      <numFmt numFmtId="166" formatCode="_-[$R$-416]\ * #,##0.00_-;\-[$R$-416]\ * #,##0.00_-;_-[$R$-416]\ * &quot;-&quot;??_-;_-@_-"/>
    </dxf>
    <dxf>
      <numFmt numFmtId="165" formatCode="_-[$$-409]* #,##0.00_ ;_-[$$-409]* \-#,##0.00\ ;_-[$$-409]* &quot;-&quot;??_ ;_-@_ "/>
    </dxf>
    <dxf>
      <numFmt numFmtId="166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66FF9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>
      <tableStyleElement type="wholeTable" dxfId="22"/>
      <tableStyleElement type="headerRow" dxfId="21"/>
    </tableStyle>
  </tableStyles>
  <colors>
    <mruColors>
      <color rgb="FF0DD77C"/>
      <color rgb="FF66FF99"/>
      <color rgb="FF99FFCC"/>
      <color rgb="FF2AE6B1"/>
      <color rgb="FFE0E0E0"/>
      <color rgb="FFF7F8FC"/>
      <color rgb="FF5BF6A8"/>
      <color rgb="FF24F85C"/>
      <color rgb="FF22C55E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do Xbox.xlsx]C̳álculos!TBL­_ANNUAL_TOTAL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24F85C"/>
          </a:solidFill>
          <a:ln>
            <a:noFill/>
          </a:ln>
          <a:effectLst/>
        </c:spPr>
      </c:pivotFmt>
      <c:pivotFmt>
        <c:idx val="2"/>
        <c:spPr>
          <a:solidFill>
            <a:srgbClr val="24F85C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24F85C"/>
          </a:solidFill>
          <a:ln>
            <a:noFill/>
          </a:ln>
          <a:effectLst/>
        </c:spPr>
      </c:pivotFmt>
      <c:pivotFmt>
        <c:idx val="5"/>
        <c:spPr>
          <a:solidFill>
            <a:srgbClr val="24F85C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4F85C"/>
          </a:solidFill>
          <a:ln>
            <a:noFill/>
          </a:ln>
          <a:effectLst/>
        </c:spPr>
      </c:pivotFmt>
      <c:pivotFmt>
        <c:idx val="8"/>
        <c:spPr>
          <a:solidFill>
            <a:srgbClr val="24F85C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259087962752244E-2"/>
          <c:y val="0.17506243578396966"/>
          <c:w val="0.87753514522111786"/>
          <c:h val="0.751464888454847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4F85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85-41A3-8A74-EEACD424F80C}"/>
              </c:ext>
            </c:extLst>
          </c:dPt>
          <c:dPt>
            <c:idx val="1"/>
            <c:invertIfNegative val="0"/>
            <c:bubble3D val="0"/>
            <c:spPr>
              <a:solidFill>
                <a:srgbClr val="24F85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85-41A3-8A74-EEACD424F8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C̳álculos!$C$8:$C$10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_-[$$-409]* #,##0.00_ ;_-[$$-409]* \-#,##0.00\ ;_-[$$-409]* "-"??_ ;_-@_ 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5-41A3-8A74-EEACD424F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663904"/>
        <c:axId val="385669808"/>
      </c:barChart>
      <c:catAx>
        <c:axId val="385663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669808"/>
        <c:crosses val="autoZero"/>
        <c:auto val="1"/>
        <c:lblAlgn val="ctr"/>
        <c:lblOffset val="100"/>
        <c:noMultiLvlLbl val="0"/>
      </c:catAx>
      <c:valAx>
        <c:axId val="385669808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566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178595</xdr:colOff>
      <xdr:row>1</xdr:row>
      <xdr:rowOff>214311</xdr:rowOff>
    </xdr:from>
    <xdr:to>
      <xdr:col>3</xdr:col>
      <xdr:colOff>7558</xdr:colOff>
      <xdr:row>1</xdr:row>
      <xdr:rowOff>964406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C5C25B-FE53-4D33-80CD-ECA88FAA02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25" t="18325" r="73032" b="18148"/>
        <a:stretch/>
      </xdr:blipFill>
      <xdr:spPr>
        <a:xfrm>
          <a:off x="2333626" y="392905"/>
          <a:ext cx="793370" cy="750095"/>
        </a:xfrm>
        <a:prstGeom prst="rect">
          <a:avLst/>
        </a:prstGeom>
      </xdr:spPr>
    </xdr:pic>
    <xdr:clientData/>
  </xdr:twoCellAnchor>
  <xdr:twoCellAnchor editAs="oneCell">
    <xdr:from>
      <xdr:col>0</xdr:col>
      <xdr:colOff>83341</xdr:colOff>
      <xdr:row>8</xdr:row>
      <xdr:rowOff>130969</xdr:rowOff>
    </xdr:from>
    <xdr:to>
      <xdr:col>0</xdr:col>
      <xdr:colOff>2047874</xdr:colOff>
      <xdr:row>19</xdr:row>
      <xdr:rowOff>69057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E93BB1A-956E-4F99-8BA7-632AFC0F3F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1" y="2166938"/>
              <a:ext cx="1964533" cy="1902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52388</xdr:colOff>
      <xdr:row>8</xdr:row>
      <xdr:rowOff>59531</xdr:rowOff>
    </xdr:from>
    <xdr:to>
      <xdr:col>9</xdr:col>
      <xdr:colOff>461963</xdr:colOff>
      <xdr:row>18</xdr:row>
      <xdr:rowOff>130670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E989D21-ABFB-46F0-9483-F98FF097163F}"/>
            </a:ext>
          </a:extLst>
        </xdr:cNvPr>
        <xdr:cNvGrpSpPr/>
      </xdr:nvGrpSpPr>
      <xdr:grpSpPr>
        <a:xfrm>
          <a:off x="2481263" y="2095500"/>
          <a:ext cx="5243513" cy="1857076"/>
          <a:chOff x="2562225" y="1638301"/>
          <a:chExt cx="5210175" cy="1876424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6D6F3BD1-4B57-4E55-B96B-F6DB4306C9A9}"/>
              </a:ext>
            </a:extLst>
          </xdr:cNvPr>
          <xdr:cNvSpPr/>
        </xdr:nvSpPr>
        <xdr:spPr>
          <a:xfrm>
            <a:off x="2562225" y="2181225"/>
            <a:ext cx="5200650" cy="127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EC6033B-3B20-4003-B30B-BF17DBF2179D}"/>
              </a:ext>
            </a:extLst>
          </xdr:cNvPr>
          <xdr:cNvSpPr/>
        </xdr:nvSpPr>
        <xdr:spPr>
          <a:xfrm>
            <a:off x="3962399" y="2419350"/>
            <a:ext cx="3581401" cy="103822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D0AA512-AE97-4F31-B7E0-67F22ADA255F}" type="TxLink">
              <a:rPr lang="en-US" sz="4800" b="0" i="0" u="none" strike="noStrike">
                <a:solidFill>
                  <a:schemeClr val="accent3"/>
                </a:solidFill>
                <a:latin typeface="Aptos Narrow"/>
              </a:rPr>
              <a:pPr algn="ctr"/>
              <a:t> R$ 600,00 </a:t>
            </a:fld>
            <a:endParaRPr lang="pt-BR" sz="4800">
              <a:solidFill>
                <a:schemeClr val="accent3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D043E430-8380-4D18-894B-94F06A6B8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76526" y="2362200"/>
            <a:ext cx="1371600" cy="1152525"/>
          </a:xfrm>
          <a:prstGeom prst="rect">
            <a:avLst/>
          </a:prstGeom>
        </xdr:spPr>
      </xdr:pic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9309D930-2CE2-4096-AC3D-1651E8AED0CC}"/>
              </a:ext>
            </a:extLst>
          </xdr:cNvPr>
          <xdr:cNvSpPr/>
        </xdr:nvSpPr>
        <xdr:spPr>
          <a:xfrm>
            <a:off x="2562225" y="1638301"/>
            <a:ext cx="5210175" cy="638174"/>
          </a:xfrm>
          <a:prstGeom prst="round2SameRect">
            <a:avLst/>
          </a:prstGeom>
          <a:solidFill>
            <a:srgbClr val="0DD77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TOTAL</a:t>
            </a:r>
            <a:r>
              <a:rPr lang="pt-BR" sz="2000" baseline="0"/>
              <a:t> </a:t>
            </a:r>
            <a:r>
              <a:rPr lang="pt-BR" sz="2000" baseline="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2000" baseline="0"/>
              <a:t> EA SEASON PASS</a:t>
            </a:r>
            <a:endParaRPr lang="pt-BR" sz="2000"/>
          </a:p>
        </xdr:txBody>
      </xdr:sp>
    </xdr:grpSp>
    <xdr:clientData/>
  </xdr:twoCellAnchor>
  <xdr:twoCellAnchor>
    <xdr:from>
      <xdr:col>3</xdr:col>
      <xdr:colOff>190499</xdr:colOff>
      <xdr:row>1</xdr:row>
      <xdr:rowOff>816768</xdr:rowOff>
    </xdr:from>
    <xdr:to>
      <xdr:col>15</xdr:col>
      <xdr:colOff>571499</xdr:colOff>
      <xdr:row>1</xdr:row>
      <xdr:rowOff>816768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FB01548D-5211-4897-9781-CBD66A448199}"/>
            </a:ext>
          </a:extLst>
        </xdr:cNvPr>
        <xdr:cNvCxnSpPr/>
      </xdr:nvCxnSpPr>
      <xdr:spPr>
        <a:xfrm flipV="1">
          <a:off x="3309937" y="995362"/>
          <a:ext cx="8477250" cy="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8</xdr:row>
      <xdr:rowOff>64295</xdr:rowOff>
    </xdr:from>
    <xdr:to>
      <xdr:col>19</xdr:col>
      <xdr:colOff>304800</xdr:colOff>
      <xdr:row>18</xdr:row>
      <xdr:rowOff>71438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104629CF-82D8-481B-A38B-73864E4F3E8B}"/>
            </a:ext>
          </a:extLst>
        </xdr:cNvPr>
        <xdr:cNvGrpSpPr/>
      </xdr:nvGrpSpPr>
      <xdr:grpSpPr>
        <a:xfrm>
          <a:off x="8191500" y="2100264"/>
          <a:ext cx="6091238" cy="1793080"/>
          <a:chOff x="8086725" y="1638301"/>
          <a:chExt cx="6057900" cy="1819274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A300C889-DCF5-4048-9947-03FF1EFBC488}"/>
              </a:ext>
            </a:extLst>
          </xdr:cNvPr>
          <xdr:cNvGrpSpPr/>
        </xdr:nvGrpSpPr>
        <xdr:grpSpPr>
          <a:xfrm>
            <a:off x="8086725" y="1638301"/>
            <a:ext cx="6057900" cy="1819274"/>
            <a:chOff x="2562225" y="1638301"/>
            <a:chExt cx="5210175" cy="1819274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B99D39C4-31B0-4976-8909-F8D38B312B4A}"/>
                </a:ext>
              </a:extLst>
            </xdr:cNvPr>
            <xdr:cNvSpPr/>
          </xdr:nvSpPr>
          <xdr:spPr>
            <a:xfrm>
              <a:off x="2562225" y="2181225"/>
              <a:ext cx="5200650" cy="12763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30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0F25B638-2FD0-43F7-BD7A-94508516187E}"/>
                </a:ext>
              </a:extLst>
            </xdr:cNvPr>
            <xdr:cNvSpPr/>
          </xdr:nvSpPr>
          <xdr:spPr>
            <a:xfrm>
              <a:off x="4422121" y="2390775"/>
              <a:ext cx="3000791" cy="10382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418B545-AACB-495F-A955-2625AF1267F9}" type="TxLink">
                <a:rPr lang="en-US" sz="4800" b="0" i="0" u="none" strike="noStrike">
                  <a:solidFill>
                    <a:schemeClr val="accent3"/>
                  </a:solidFill>
                  <a:latin typeface="Aptos Narrow"/>
                </a:rPr>
                <a:pPr algn="ctr"/>
                <a:t> R$ 940,00 </a:t>
              </a:fld>
              <a:endParaRPr lang="pt-BR" sz="4800">
                <a:solidFill>
                  <a:schemeClr val="accent3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DFB958AB-9529-4B97-BF6B-F1226FDD80DC}"/>
                </a:ext>
              </a:extLst>
            </xdr:cNvPr>
            <xdr:cNvSpPr/>
          </xdr:nvSpPr>
          <xdr:spPr>
            <a:xfrm>
              <a:off x="2562225" y="1638301"/>
              <a:ext cx="5210175" cy="638174"/>
            </a:xfrm>
            <a:prstGeom prst="round2SameRect">
              <a:avLst/>
            </a:prstGeom>
            <a:solidFill>
              <a:srgbClr val="0DD77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/>
                <a:t>TOTAL</a:t>
              </a:r>
              <a:r>
                <a:rPr lang="pt-BR" sz="2000" baseline="0"/>
                <a:t> </a:t>
              </a:r>
              <a:r>
                <a:rPr lang="pt-BR" sz="2000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SUBSCRIPTIONS</a:t>
              </a:r>
              <a:r>
                <a:rPr lang="pt-BR" sz="2000" baseline="0"/>
                <a:t> EA SEASON PASS</a:t>
              </a:r>
              <a:endParaRPr lang="pt-BR" sz="2000"/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C5B7616F-BCA8-4BD7-9C63-5AE8594D43FE}"/>
              </a:ext>
            </a:extLst>
          </xdr:cNvPr>
          <xdr:cNvGrpSpPr/>
        </xdr:nvGrpSpPr>
        <xdr:grpSpPr>
          <a:xfrm>
            <a:off x="8324850" y="2581275"/>
            <a:ext cx="1390650" cy="55245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8644AF0-6DC4-4738-9ED5-391CF824FA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A82F9D6-C999-4BD8-8681-FE6A60EC49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40481</xdr:colOff>
      <xdr:row>19</xdr:row>
      <xdr:rowOff>85728</xdr:rowOff>
    </xdr:from>
    <xdr:to>
      <xdr:col>19</xdr:col>
      <xdr:colOff>321468</xdr:colOff>
      <xdr:row>40</xdr:row>
      <xdr:rowOff>107156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B7461691-3773-44E4-872B-5E173E2E3EC3}"/>
            </a:ext>
          </a:extLst>
        </xdr:cNvPr>
        <xdr:cNvGrpSpPr/>
      </xdr:nvGrpSpPr>
      <xdr:grpSpPr>
        <a:xfrm>
          <a:off x="2469356" y="4086228"/>
          <a:ext cx="11830050" cy="3771897"/>
          <a:chOff x="2493168" y="4229102"/>
          <a:chExt cx="11830050" cy="3771897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F911AD3-AFA4-4165-8CEB-004055D629A5}"/>
              </a:ext>
            </a:extLst>
          </xdr:cNvPr>
          <xdr:cNvGraphicFramePr>
            <a:graphicFrameLocks/>
          </xdr:cNvGraphicFramePr>
        </xdr:nvGraphicFramePr>
        <xdr:xfrm>
          <a:off x="2493168" y="4855367"/>
          <a:ext cx="11820526" cy="31456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FD24F648-F4B3-4B29-B7C0-B5307F427241}"/>
              </a:ext>
            </a:extLst>
          </xdr:cNvPr>
          <xdr:cNvSpPr/>
        </xdr:nvSpPr>
        <xdr:spPr>
          <a:xfrm>
            <a:off x="2502694" y="4229102"/>
            <a:ext cx="11820524" cy="625924"/>
          </a:xfrm>
          <a:prstGeom prst="round2SameRect">
            <a:avLst/>
          </a:prstGeom>
          <a:solidFill>
            <a:srgbClr val="0DD77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TOTAL</a:t>
            </a:r>
            <a:r>
              <a:rPr lang="pt-BR" sz="2000" baseline="0"/>
              <a:t> </a:t>
            </a:r>
            <a:r>
              <a:rPr lang="pt-BR" sz="2000" baseline="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2000" baseline="0"/>
              <a:t> XBOX GAME PASS</a:t>
            </a:r>
            <a:endParaRPr lang="pt-BR" sz="2000"/>
          </a:p>
        </xdr:txBody>
      </xdr:sp>
    </xdr:grpSp>
    <xdr:clientData/>
  </xdr:twoCellAnchor>
  <xdr:twoCellAnchor editAs="absolute">
    <xdr:from>
      <xdr:col>0</xdr:col>
      <xdr:colOff>261939</xdr:colOff>
      <xdr:row>1</xdr:row>
      <xdr:rowOff>190499</xdr:rowOff>
    </xdr:from>
    <xdr:to>
      <xdr:col>0</xdr:col>
      <xdr:colOff>952501</xdr:colOff>
      <xdr:row>1</xdr:row>
      <xdr:rowOff>847724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74E2829D-4567-4C0C-8F6C-B9216C84064B}"/>
            </a:ext>
          </a:extLst>
        </xdr:cNvPr>
        <xdr:cNvSpPr/>
      </xdr:nvSpPr>
      <xdr:spPr>
        <a:xfrm>
          <a:off x="261939" y="369093"/>
          <a:ext cx="690562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11905</xdr:colOff>
      <xdr:row>5</xdr:row>
      <xdr:rowOff>35717</xdr:rowOff>
    </xdr:from>
    <xdr:to>
      <xdr:col>13</xdr:col>
      <xdr:colOff>321468</xdr:colOff>
      <xdr:row>7</xdr:row>
      <xdr:rowOff>83343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F5D7E7F2-B5B4-4FA9-94EB-B3C1278D738E}"/>
            </a:ext>
          </a:extLst>
        </xdr:cNvPr>
        <xdr:cNvSpPr/>
      </xdr:nvSpPr>
      <xdr:spPr>
        <a:xfrm>
          <a:off x="2440780" y="1583530"/>
          <a:ext cx="7715251" cy="345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Apuration period</a:t>
          </a:r>
          <a:r>
            <a:rPr lang="pt-BR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: 01/01/2024 - 31/12/2024| Update date: 25/12/2024  09:00:00 </a:t>
          </a:r>
          <a:endParaRPr lang="pt-BR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200025</xdr:colOff>
      <xdr:row>3</xdr:row>
      <xdr:rowOff>57149</xdr:rowOff>
    </xdr:from>
    <xdr:to>
      <xdr:col>1</xdr:col>
      <xdr:colOff>57150</xdr:colOff>
      <xdr:row>6</xdr:row>
      <xdr:rowOff>80963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8049ACE8-18AA-4D64-8D6D-A20515651EB5}"/>
            </a:ext>
          </a:extLst>
        </xdr:cNvPr>
        <xdr:cNvSpPr/>
      </xdr:nvSpPr>
      <xdr:spPr>
        <a:xfrm>
          <a:off x="200025" y="1414462"/>
          <a:ext cx="2012156" cy="345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UBIA" refreshedDate="45958.485672453702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­_ANNUAL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C7:D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5"/>
  </dataFields>
  <formats count="3">
    <format dxfId="2">
      <pivotArea collapsedLevelsAreSubtotals="1" fieldPosition="0">
        <references count="1">
          <reference field="4" count="0"/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C16:D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2">
    <format dxfId="4">
      <pivotArea grandRow="1"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C26:D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6">
      <pivotArea grandRow="1" outline="0" collapsedLevelsAreSubtotals="1" fieldPosition="0"/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­_ANNUAL_TOTAL"/>
    <pivotTable tabId="3" name="tbl_easeasonpass_total"/>
    <pivotTable tabId="3" name="Tabela dinâmica1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id="1" name="Tabela1" displayName="Tabela1" ref="A1:M296" totalsRowShown="0" dataDxfId="20">
  <autoFilter ref="A1:M296">
    <filterColumn colId="7">
      <filters>
        <filter val="Yes"/>
      </filters>
    </filterColumn>
  </autoFilter>
  <tableColumns count="13">
    <tableColumn id="1" name="Subscriber ID" dataDxfId="19"/>
    <tableColumn id="2" name="Name" dataDxfId="18"/>
    <tableColumn id="3" name="Plan" dataDxfId="17"/>
    <tableColumn id="4" name="Start Date" dataDxfId="16"/>
    <tableColumn id="5" name="Auto Renewal" dataDxfId="15"/>
    <tableColumn id="6" name="Subscription Price" dataDxfId="14" dataCellStyle="Moeda"/>
    <tableColumn id="7" name="Subscription Type" dataDxfId="13"/>
    <tableColumn id="8" name="EA Play Season Pass" dataDxfId="12"/>
    <tableColumn id="13" name="EA Play Season Pass_x000a_Price" dataDxfId="11" dataCellStyle="Moeda"/>
    <tableColumn id="9" name="Minecraft Season Pass" dataDxfId="10"/>
    <tableColumn id="10" name="Minecraft Season Pass Price" dataDxfId="9" dataCellStyle="Moeda"/>
    <tableColumn id="11" name="Coupon Value" dataDxfId="8" dataCellStyle="Moeda"/>
    <tableColumn id="12" name="Total Value" dataDxfId="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2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C2:J30"/>
  <sheetViews>
    <sheetView showGridLines="0" topLeftCell="D10" workbookViewId="0">
      <selection activeCell="I30" sqref="I30"/>
    </sheetView>
  </sheetViews>
  <sheetFormatPr defaultRowHeight="14.25"/>
  <cols>
    <col min="3" max="3" width="18" bestFit="1" customWidth="1"/>
    <col min="4" max="4" width="35.125" bestFit="1" customWidth="1"/>
    <col min="5" max="5" width="7.875" bestFit="1" customWidth="1"/>
    <col min="6" max="6" width="9.125" bestFit="1" customWidth="1"/>
    <col min="7" max="7" width="12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3:10" ht="15">
      <c r="C2" s="24" t="s">
        <v>319</v>
      </c>
      <c r="D2" s="24"/>
      <c r="E2" s="24"/>
      <c r="F2" s="24"/>
      <c r="G2" s="24"/>
      <c r="H2" s="24"/>
      <c r="I2" s="24"/>
      <c r="J2" s="24"/>
    </row>
    <row r="3" spans="3:10" ht="15">
      <c r="C3" s="24" t="s">
        <v>318</v>
      </c>
      <c r="D3" s="24"/>
      <c r="E3" s="24"/>
      <c r="F3" s="24"/>
      <c r="G3" s="24"/>
      <c r="H3" s="24"/>
      <c r="I3" s="24"/>
      <c r="J3" s="24"/>
    </row>
    <row r="5" spans="3:10">
      <c r="C5" s="12" t="s">
        <v>16</v>
      </c>
      <c r="D5" t="s">
        <v>24</v>
      </c>
      <c r="E5" s="14"/>
      <c r="F5" s="14"/>
      <c r="G5" s="14"/>
      <c r="H5" s="14"/>
    </row>
    <row r="7" spans="3:10">
      <c r="C7" s="12" t="s">
        <v>313</v>
      </c>
      <c r="D7" t="s">
        <v>315</v>
      </c>
    </row>
    <row r="8" spans="3:10">
      <c r="C8" s="21" t="s">
        <v>23</v>
      </c>
      <c r="D8" s="15">
        <v>217</v>
      </c>
    </row>
    <row r="9" spans="3:10">
      <c r="C9" s="21" t="s">
        <v>19</v>
      </c>
      <c r="D9" s="15">
        <v>1537</v>
      </c>
    </row>
    <row r="10" spans="3:10">
      <c r="C10" s="21" t="s">
        <v>314</v>
      </c>
      <c r="D10" s="15">
        <v>1754</v>
      </c>
    </row>
    <row r="11" spans="3:10">
      <c r="C11" s="13"/>
      <c r="D11" s="15"/>
    </row>
    <row r="12" spans="3:10">
      <c r="C12" s="24" t="s">
        <v>320</v>
      </c>
      <c r="D12" s="24"/>
      <c r="E12" s="24"/>
      <c r="F12" s="24"/>
      <c r="G12" s="24"/>
      <c r="H12" s="24"/>
      <c r="I12" s="24"/>
      <c r="J12" s="24"/>
    </row>
    <row r="14" spans="3:10">
      <c r="C14" s="12" t="s">
        <v>16</v>
      </c>
      <c r="D14" t="s">
        <v>24</v>
      </c>
    </row>
    <row r="16" spans="3:10">
      <c r="C16" s="12" t="s">
        <v>313</v>
      </c>
      <c r="D16" t="s">
        <v>321</v>
      </c>
      <c r="E16" s="12"/>
      <c r="F16" s="12"/>
      <c r="G16" s="12"/>
      <c r="H16" s="12"/>
    </row>
    <row r="17" spans="3:10">
      <c r="C17" s="21" t="s">
        <v>22</v>
      </c>
      <c r="D17" s="15">
        <v>0</v>
      </c>
    </row>
    <row r="18" spans="3:10">
      <c r="C18" s="21" t="s">
        <v>26</v>
      </c>
      <c r="D18" s="15">
        <v>0</v>
      </c>
    </row>
    <row r="19" spans="3:10">
      <c r="C19" s="21" t="s">
        <v>18</v>
      </c>
      <c r="D19" s="15">
        <v>600</v>
      </c>
    </row>
    <row r="20" spans="3:10">
      <c r="C20" s="21" t="s">
        <v>314</v>
      </c>
      <c r="D20" s="15">
        <v>600</v>
      </c>
      <c r="G20" s="20">
        <f>GETPIVOTDATA("EA Play Season Pass
Price",$C$16)</f>
        <v>600</v>
      </c>
    </row>
    <row r="22" spans="3:10" ht="15">
      <c r="C22" s="24" t="s">
        <v>322</v>
      </c>
      <c r="D22" s="24"/>
      <c r="E22" s="24"/>
      <c r="F22" s="24"/>
      <c r="G22" s="24"/>
      <c r="H22" s="24"/>
      <c r="I22" s="24"/>
      <c r="J22" s="24"/>
    </row>
    <row r="24" spans="3:10">
      <c r="C24" s="12" t="s">
        <v>16</v>
      </c>
      <c r="D24" t="s">
        <v>24</v>
      </c>
    </row>
    <row r="26" spans="3:10">
      <c r="C26" s="12" t="s">
        <v>313</v>
      </c>
      <c r="D26" t="s">
        <v>323</v>
      </c>
      <c r="E26" s="12"/>
      <c r="F26" s="12"/>
      <c r="G26" s="12"/>
      <c r="H26" s="12"/>
      <c r="I26" s="12"/>
      <c r="J26" s="12"/>
    </row>
    <row r="27" spans="3:10">
      <c r="C27" s="21" t="s">
        <v>22</v>
      </c>
      <c r="D27" s="15">
        <v>0</v>
      </c>
    </row>
    <row r="28" spans="3:10">
      <c r="C28" s="21" t="s">
        <v>26</v>
      </c>
      <c r="D28" s="15">
        <v>540</v>
      </c>
    </row>
    <row r="29" spans="3:10">
      <c r="C29" s="21" t="s">
        <v>18</v>
      </c>
      <c r="D29" s="15">
        <v>400</v>
      </c>
    </row>
    <row r="30" spans="3:10">
      <c r="C30" s="21" t="s">
        <v>314</v>
      </c>
      <c r="D30" s="15">
        <v>940</v>
      </c>
      <c r="G30" s="20">
        <f>GETPIVOTDATA("Minecraft Season Pass Price",$C$26)</f>
        <v>940</v>
      </c>
    </row>
  </sheetData>
  <mergeCells count="4">
    <mergeCell ref="C2:J2"/>
    <mergeCell ref="C3:J3"/>
    <mergeCell ref="C12:J12"/>
    <mergeCell ref="C22:J2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GridLines="0" tabSelected="1" zoomScale="80" zoomScaleNormal="80" workbookViewId="0">
      <selection activeCell="L7" sqref="L7"/>
    </sheetView>
  </sheetViews>
  <sheetFormatPr defaultRowHeight="14.25"/>
  <cols>
    <col min="1" max="1" width="28.25" style="19" customWidth="1"/>
    <col min="2" max="2" width="3.625" style="16" customWidth="1"/>
    <col min="3" max="11" width="9" style="16"/>
    <col min="12" max="12" width="6.625" style="16" customWidth="1"/>
    <col min="13" max="16384" width="9" style="16"/>
  </cols>
  <sheetData>
    <row r="1" spans="1:16" customFormat="1">
      <c r="A1" s="19"/>
    </row>
    <row r="2" spans="1:16" customFormat="1" ht="84" customHeight="1">
      <c r="A2" s="19"/>
      <c r="B2" s="18" t="s">
        <v>316</v>
      </c>
      <c r="C2" s="25" t="s">
        <v>324</v>
      </c>
      <c r="D2" s="25"/>
      <c r="E2" s="25"/>
      <c r="F2" s="25"/>
      <c r="G2" s="25"/>
      <c r="H2" s="25"/>
      <c r="I2" s="25"/>
      <c r="J2" s="25"/>
      <c r="K2" s="22"/>
      <c r="L2" s="22"/>
      <c r="M2" s="22"/>
      <c r="N2" s="22"/>
      <c r="O2" s="22"/>
      <c r="P2" s="17"/>
    </row>
    <row r="3" spans="1:16" customFormat="1" ht="8.25" customHeight="1">
      <c r="A3" s="19"/>
    </row>
    <row r="4" spans="1:16" ht="7.5" customHeight="1">
      <c r="A4" s="23"/>
    </row>
    <row r="5" spans="1:16" ht="7.5" customHeight="1">
      <c r="A5" s="23"/>
    </row>
    <row r="6" spans="1:16" ht="10.5" customHeight="1"/>
    <row r="7" spans="1:16" ht="13.5" customHeight="1"/>
    <row r="8" spans="1:16" ht="15" customHeight="1"/>
    <row r="12" spans="1:16">
      <c r="L12" s="16" t="s">
        <v>317</v>
      </c>
    </row>
  </sheetData>
  <mergeCells count="1">
    <mergeCell ref="C2:J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schemas.microsoft.com/office/infopath/2007/PartnerControls"/>
    <ds:schemaRef ds:uri="851b35d3-0456-4d6a-bc2f-da927e91d158"/>
    <ds:schemaRef ds:uri="http://schemas.microsoft.com/office/2006/documentManagement/types"/>
    <ds:schemaRef ds:uri="http://schemas.microsoft.com/office/2006/metadata/properties"/>
    <ds:schemaRef ds:uri="19483571-f922-4e8e-9c1c-26f0a2252132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NUBIA</cp:lastModifiedBy>
  <dcterms:created xsi:type="dcterms:W3CDTF">2024-12-19T13:13:10Z</dcterms:created>
  <dcterms:modified xsi:type="dcterms:W3CDTF">2025-11-25T23:30:34Z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